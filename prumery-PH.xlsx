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6" documentId="13_ncr:1_{9FB46074-C365-448A-90B2-0EAC47CE7489}" xr6:coauthVersionLast="47" xr6:coauthVersionMax="47" xr10:uidLastSave="{2E9941F1-D635-43C5-85D9-F6066F3FF782}"/>
  <bookViews>
    <workbookView xWindow="-120" yWindow="-120" windowWidth="29040" windowHeight="17640" xr2:uid="{00000000-000D-0000-FFFF-FFFF00000000}"/>
  </bookViews>
  <sheets>
    <sheet name="prumery" sheetId="1" r:id="rId1"/>
    <sheet name="rozptyl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3" l="1"/>
  <c r="O6" i="3"/>
  <c r="J15" i="1"/>
  <c r="F12" i="3"/>
  <c r="F10" i="3"/>
  <c r="F13" i="3"/>
  <c r="H15" i="1"/>
  <c r="I15" i="1"/>
  <c r="E5" i="1"/>
  <c r="M4" i="3" l="1"/>
  <c r="F9" i="3"/>
  <c r="O4" i="3" s="1"/>
  <c r="F3" i="3"/>
  <c r="J3" i="3" s="1"/>
  <c r="I5" i="3"/>
  <c r="I7" i="3"/>
  <c r="I11" i="3"/>
  <c r="I12" i="3"/>
  <c r="H3" i="1"/>
  <c r="H4" i="1"/>
  <c r="H5" i="1"/>
  <c r="H6" i="1"/>
  <c r="H7" i="1"/>
  <c r="H8" i="1"/>
  <c r="H9" i="1"/>
  <c r="H10" i="1"/>
  <c r="H11" i="1"/>
  <c r="H12" i="1"/>
  <c r="H13" i="1"/>
  <c r="H14" i="1"/>
  <c r="H3" i="3"/>
  <c r="H5" i="3"/>
  <c r="H9" i="3"/>
  <c r="H10" i="3"/>
  <c r="H14" i="3"/>
  <c r="H2" i="3"/>
  <c r="F2" i="3"/>
  <c r="N3" i="3" s="1"/>
  <c r="F5" i="3"/>
  <c r="J3" i="1"/>
  <c r="J4" i="1"/>
  <c r="J5" i="1"/>
  <c r="J6" i="1"/>
  <c r="J7" i="1"/>
  <c r="J8" i="1"/>
  <c r="J9" i="1"/>
  <c r="J10" i="1"/>
  <c r="J11" i="1"/>
  <c r="J12" i="1"/>
  <c r="J13" i="1"/>
  <c r="J14" i="1"/>
  <c r="I3" i="1"/>
  <c r="I4" i="1"/>
  <c r="I5" i="1"/>
  <c r="I6" i="1"/>
  <c r="I7" i="1"/>
  <c r="I8" i="1"/>
  <c r="I9" i="1"/>
  <c r="I10" i="1"/>
  <c r="I11" i="1"/>
  <c r="I12" i="1"/>
  <c r="I13" i="1"/>
  <c r="I14" i="1"/>
  <c r="J2" i="1"/>
  <c r="I2" i="1"/>
  <c r="H2" i="1"/>
  <c r="E7" i="1"/>
  <c r="E6" i="1"/>
  <c r="E4" i="1"/>
  <c r="M4" i="1" s="1"/>
  <c r="E2" i="1"/>
  <c r="L4" i="1" s="1"/>
  <c r="E8" i="1"/>
  <c r="N4" i="1"/>
  <c r="H13" i="3" l="1"/>
  <c r="H7" i="3"/>
  <c r="I2" i="3"/>
  <c r="I9" i="3"/>
  <c r="I4" i="3"/>
  <c r="K2" i="3"/>
  <c r="K10" i="3"/>
  <c r="K4" i="3"/>
  <c r="K5" i="3"/>
  <c r="H11" i="3"/>
  <c r="H6" i="3"/>
  <c r="I13" i="3"/>
  <c r="I8" i="3"/>
  <c r="I3" i="3"/>
  <c r="K14" i="3"/>
  <c r="K8" i="3"/>
  <c r="K3" i="3"/>
  <c r="N4" i="3"/>
  <c r="K12" i="3"/>
  <c r="K7" i="3"/>
  <c r="O3" i="3"/>
  <c r="Q3" i="3" s="1"/>
  <c r="E9" i="1"/>
  <c r="K11" i="3"/>
  <c r="K6" i="3"/>
  <c r="J14" i="3"/>
  <c r="J10" i="3"/>
  <c r="J6" i="3"/>
  <c r="H12" i="3"/>
  <c r="H8" i="3"/>
  <c r="H4" i="3"/>
  <c r="F6" i="3" s="1"/>
  <c r="I14" i="3"/>
  <c r="I10" i="3"/>
  <c r="I6" i="3"/>
  <c r="J13" i="3"/>
  <c r="J9" i="3"/>
  <c r="J5" i="3"/>
  <c r="K13" i="3"/>
  <c r="K9" i="3"/>
  <c r="J12" i="3"/>
  <c r="J8" i="3"/>
  <c r="J4" i="3"/>
  <c r="J2" i="3"/>
  <c r="F8" i="3" s="1"/>
  <c r="J11" i="3"/>
  <c r="J7" i="3"/>
  <c r="N3" i="1"/>
  <c r="M3" i="1"/>
  <c r="E10" i="1"/>
  <c r="E11" i="1"/>
  <c r="F7" i="3" l="1"/>
  <c r="Q4" i="3"/>
  <c r="P4" i="3"/>
  <c r="P3" i="3"/>
</calcChain>
</file>

<file path=xl/sharedStrings.xml><?xml version="1.0" encoding="utf-8"?>
<sst xmlns="http://schemas.openxmlformats.org/spreadsheetml/2006/main" count="41" uniqueCount="34">
  <si>
    <t>data</t>
  </si>
  <si>
    <t xml:space="preserve"> </t>
  </si>
  <si>
    <t>k</t>
  </si>
  <si>
    <t>rms (2)</t>
  </si>
  <si>
    <t>rmc (3)</t>
  </si>
  <si>
    <t>rmk (5)</t>
  </si>
  <si>
    <t>rozsah</t>
  </si>
  <si>
    <t>průměrná odchylka</t>
  </si>
  <si>
    <t>absolutní odchylka</t>
  </si>
  <si>
    <t>absolutní odchylka od mediánu</t>
  </si>
  <si>
    <t>standardní odchylka</t>
  </si>
  <si>
    <t>Úloha 1</t>
  </si>
  <si>
    <t>průměr</t>
  </si>
  <si>
    <t>medián</t>
  </si>
  <si>
    <t>Úloha 2 a 3</t>
  </si>
  <si>
    <t>aritmetický průměr</t>
  </si>
  <si>
    <t>geometrický průměr</t>
  </si>
  <si>
    <t>harmonický průměr</t>
  </si>
  <si>
    <t>root mean square (rms)</t>
  </si>
  <si>
    <t>delta x (median)</t>
  </si>
  <si>
    <t>delta x (mean)</t>
  </si>
  <si>
    <t>abs delta x (mean)</t>
  </si>
  <si>
    <t>počet hodnot mimo +/- 1 st. odchylku</t>
  </si>
  <si>
    <t>interval</t>
  </si>
  <si>
    <t>průměr + odchylka</t>
  </si>
  <si>
    <t>průměr - odchylka</t>
  </si>
  <si>
    <t>odchylka</t>
  </si>
  <si>
    <t>počet měření</t>
  </si>
  <si>
    <t>chyba aritmetického průměru</t>
  </si>
  <si>
    <t>procent hodnot mimo +/- 1 st. odchylku</t>
  </si>
  <si>
    <t>Mimo interval</t>
  </si>
  <si>
    <t>%</t>
  </si>
  <si>
    <t>Úloha 5</t>
  </si>
  <si>
    <t>Úloha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</si>
</sst>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8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  <xf numFmtId="165" fontId="0" fillId="0" borderId="0" xfId="0" applyNumberFormat="1"/>
    <xf numFmtId="2" fontId="0" fillId="0" borderId="0" xfId="0" applyNumberFormat="1"/>
    <xf numFmtId="165" fontId="5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Medium9"/>
  <colors>
    <mruColors>
      <color rgb="FF000066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cs-CZ">
                <a:solidFill>
                  <a:sysClr val="windowText" lastClr="000000"/>
                </a:solidFill>
              </a:rPr>
              <a:t>Průměry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prumery!$L$2</c:f>
              <c:strCache>
                <c:ptCount val="1"/>
                <c:pt idx="0">
                  <c:v>data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prumery!$A$2:$A$100</c:f>
              <c:numCache>
                <c:formatCode>General</c:formatCode>
                <c:ptCount val="99"/>
                <c:pt idx="0">
                  <c:v>1.9</c:v>
                </c:pt>
                <c:pt idx="1">
                  <c:v>1.8</c:v>
                </c:pt>
                <c:pt idx="2">
                  <c:v>1.71</c:v>
                </c:pt>
                <c:pt idx="3">
                  <c:v>1.7</c:v>
                </c:pt>
                <c:pt idx="4">
                  <c:v>1.74</c:v>
                </c:pt>
                <c:pt idx="5">
                  <c:v>1.59</c:v>
                </c:pt>
                <c:pt idx="6">
                  <c:v>1.78</c:v>
                </c:pt>
                <c:pt idx="7">
                  <c:v>1.75</c:v>
                </c:pt>
                <c:pt idx="8">
                  <c:v>1.78</c:v>
                </c:pt>
                <c:pt idx="9">
                  <c:v>1.9</c:v>
                </c:pt>
                <c:pt idx="10">
                  <c:v>1.65</c:v>
                </c:pt>
                <c:pt idx="11">
                  <c:v>1.5</c:v>
                </c:pt>
                <c:pt idx="12">
                  <c:v>1.78</c:v>
                </c:pt>
                <c:pt idx="1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5-42F2-9044-64600227174D}"/>
            </c:ext>
          </c:extLst>
        </c:ser>
        <c:ser>
          <c:idx val="1"/>
          <c:order val="1"/>
          <c:tx>
            <c:strRef>
              <c:f>prumery!$M$2</c:f>
              <c:strCache>
                <c:ptCount val="1"/>
                <c:pt idx="0">
                  <c:v>průměr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prumery!$L$3:$L$4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prumery!$M$3:$M$4</c:f>
              <c:numCache>
                <c:formatCode>0.000</c:formatCode>
                <c:ptCount val="2"/>
                <c:pt idx="0">
                  <c:v>2.1842857142857142</c:v>
                </c:pt>
                <c:pt idx="1">
                  <c:v>2.1842857142857142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65-42F2-9044-64600227174D}"/>
            </c:ext>
          </c:extLst>
        </c:ser>
        <c:ser>
          <c:idx val="2"/>
          <c:order val="2"/>
          <c:tx>
            <c:strRef>
              <c:f>prumery!$N$2</c:f>
              <c:strCache>
                <c:ptCount val="1"/>
                <c:pt idx="0">
                  <c:v>medián</c:v>
                </c:pt>
              </c:strCache>
            </c:strRef>
          </c:tx>
          <c:spPr>
            <a:ln w="254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prumery!$L$3:$L$4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prumery!$N$3:$N$4</c:f>
              <c:numCache>
                <c:formatCode>0.000</c:formatCode>
                <c:ptCount val="2"/>
                <c:pt idx="0">
                  <c:v>1.7650000000000001</c:v>
                </c:pt>
                <c:pt idx="1">
                  <c:v>1.7650000000000001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65-42F2-9044-646002271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295888"/>
        <c:axId val="1488290992"/>
      </c:scatterChart>
      <c:valAx>
        <c:axId val="1488295888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>
                    <a:solidFill>
                      <a:sysClr val="windowText" lastClr="000000"/>
                    </a:solidFill>
                  </a:rPr>
                  <a:t>číslo měření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88290992"/>
        <c:crosses val="autoZero"/>
        <c:crossBetween val="midCat"/>
        <c:minorUnit val="1"/>
      </c:valAx>
      <c:valAx>
        <c:axId val="1488290992"/>
        <c:scaling>
          <c:orientation val="minMax"/>
          <c:max val="2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>
                    <a:solidFill>
                      <a:sysClr val="windowText" lastClr="000000"/>
                    </a:solidFill>
                  </a:rPr>
                  <a:t>tloušťka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8829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39370078740157483" l="0.39370078740157483" r="0.39370078740157483" t="0.39370078740157483" header="0.31496062992125984" footer="0.31496062992125984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cs-CZ">
                <a:solidFill>
                  <a:sysClr val="windowText" lastClr="000000"/>
                </a:solidFill>
              </a:rPr>
              <a:t>Průměry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prumery!$L$2</c:f>
              <c:strCache>
                <c:ptCount val="1"/>
                <c:pt idx="0">
                  <c:v>data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prumery!$A$2:$A$100</c:f>
              <c:numCache>
                <c:formatCode>General</c:formatCode>
                <c:ptCount val="99"/>
                <c:pt idx="0">
                  <c:v>1.9</c:v>
                </c:pt>
                <c:pt idx="1">
                  <c:v>1.8</c:v>
                </c:pt>
                <c:pt idx="2">
                  <c:v>1.71</c:v>
                </c:pt>
                <c:pt idx="3">
                  <c:v>1.7</c:v>
                </c:pt>
                <c:pt idx="4">
                  <c:v>1.74</c:v>
                </c:pt>
                <c:pt idx="5">
                  <c:v>1.59</c:v>
                </c:pt>
                <c:pt idx="6">
                  <c:v>1.78</c:v>
                </c:pt>
                <c:pt idx="7">
                  <c:v>1.75</c:v>
                </c:pt>
                <c:pt idx="8">
                  <c:v>1.78</c:v>
                </c:pt>
                <c:pt idx="9">
                  <c:v>1.9</c:v>
                </c:pt>
                <c:pt idx="10">
                  <c:v>1.65</c:v>
                </c:pt>
                <c:pt idx="11">
                  <c:v>1.5</c:v>
                </c:pt>
                <c:pt idx="12">
                  <c:v>1.78</c:v>
                </c:pt>
                <c:pt idx="1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6E-4958-9DF5-8670D8DA4EE1}"/>
            </c:ext>
          </c:extLst>
        </c:ser>
        <c:ser>
          <c:idx val="1"/>
          <c:order val="1"/>
          <c:tx>
            <c:strRef>
              <c:f>prumery!$M$2</c:f>
              <c:strCache>
                <c:ptCount val="1"/>
                <c:pt idx="0">
                  <c:v>průměr</c:v>
                </c:pt>
              </c:strCache>
            </c:strRef>
          </c:tx>
          <c:spPr>
            <a:ln w="254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prumery!$L$3:$L$4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prumery!$M$3:$M$4</c:f>
              <c:numCache>
                <c:formatCode>0.000</c:formatCode>
                <c:ptCount val="2"/>
                <c:pt idx="0">
                  <c:v>2.1842857142857142</c:v>
                </c:pt>
                <c:pt idx="1">
                  <c:v>2.1842857142857142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6E-4958-9DF5-8670D8DA4EE1}"/>
            </c:ext>
          </c:extLst>
        </c:ser>
        <c:ser>
          <c:idx val="2"/>
          <c:order val="2"/>
          <c:tx>
            <c:strRef>
              <c:f>prumery!$N$2</c:f>
              <c:strCache>
                <c:ptCount val="1"/>
                <c:pt idx="0">
                  <c:v>medián</c:v>
                </c:pt>
              </c:strCache>
            </c:strRef>
          </c:tx>
          <c:spPr>
            <a:ln w="254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00B050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6E-4958-9DF5-8670D8DA4EE1}"/>
              </c:ext>
            </c:extLst>
          </c:dPt>
          <c:xVal>
            <c:numRef>
              <c:f>prumery!$L$3:$L$4</c:f>
              <c:numCache>
                <c:formatCode>General</c:formatCode>
                <c:ptCount val="2"/>
                <c:pt idx="0">
                  <c:v>0</c:v>
                </c:pt>
                <c:pt idx="1">
                  <c:v>14</c:v>
                </c:pt>
              </c:numCache>
            </c:numRef>
          </c:xVal>
          <c:yVal>
            <c:numRef>
              <c:f>prumery!$N$3:$N$4</c:f>
              <c:numCache>
                <c:formatCode>0.000</c:formatCode>
                <c:ptCount val="2"/>
                <c:pt idx="0">
                  <c:v>1.7650000000000001</c:v>
                </c:pt>
                <c:pt idx="1">
                  <c:v>1.7650000000000001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6E-4958-9DF5-8670D8DA4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292624"/>
        <c:axId val="1488294256"/>
      </c:scatterChart>
      <c:valAx>
        <c:axId val="1488292624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>
                    <a:solidFill>
                      <a:sysClr val="windowText" lastClr="000000"/>
                    </a:solidFill>
                  </a:rPr>
                  <a:t>číslo měření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88294256"/>
        <c:crosses val="autoZero"/>
        <c:crossBetween val="midCat"/>
        <c:minorUnit val="1"/>
      </c:valAx>
      <c:valAx>
        <c:axId val="1488294256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>
                    <a:solidFill>
                      <a:sysClr val="windowText" lastClr="000000"/>
                    </a:solidFill>
                  </a:rPr>
                  <a:t>tloušťka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88292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39370078740157483" l="0.39370078740157483" r="0.39370078740157483" t="0.39370078740157483" header="0.31496062992125984" footer="0.31496062992125984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cs-CZ" sz="1400">
                <a:solidFill>
                  <a:sysClr val="windowText" lastClr="000000"/>
                </a:solidFill>
              </a:rPr>
              <a:t>standardní odchylka</a:t>
            </a:r>
            <a:endParaRPr lang="en-US" sz="14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rozptyly!$A$1</c:f>
              <c:strCache>
                <c:ptCount val="1"/>
                <c:pt idx="0">
                  <c:v>data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rozptyly!$A$2:$A$14</c:f>
              <c:numCache>
                <c:formatCode>General</c:formatCode>
                <c:ptCount val="13"/>
                <c:pt idx="0">
                  <c:v>1.9</c:v>
                </c:pt>
                <c:pt idx="1">
                  <c:v>1.8</c:v>
                </c:pt>
                <c:pt idx="2">
                  <c:v>1.71</c:v>
                </c:pt>
                <c:pt idx="3">
                  <c:v>1.7</c:v>
                </c:pt>
                <c:pt idx="4">
                  <c:v>1.74</c:v>
                </c:pt>
                <c:pt idx="5">
                  <c:v>1.59</c:v>
                </c:pt>
                <c:pt idx="6">
                  <c:v>1.78</c:v>
                </c:pt>
                <c:pt idx="7">
                  <c:v>1.75</c:v>
                </c:pt>
                <c:pt idx="8">
                  <c:v>1.78</c:v>
                </c:pt>
                <c:pt idx="9">
                  <c:v>1.9</c:v>
                </c:pt>
                <c:pt idx="10">
                  <c:v>1.65</c:v>
                </c:pt>
                <c:pt idx="11">
                  <c:v>1.5</c:v>
                </c:pt>
                <c:pt idx="12">
                  <c:v>1.78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B-4918-9B4E-7CB50ABFF2AD}"/>
            </c:ext>
          </c:extLst>
        </c:ser>
        <c:ser>
          <c:idx val="1"/>
          <c:order val="1"/>
          <c:tx>
            <c:strRef>
              <c:f>rozptyly!$N$2</c:f>
              <c:strCache>
                <c:ptCount val="1"/>
                <c:pt idx="0">
                  <c:v>průměr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rozptyly!$M$3:$M$4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xVal>
          <c:yVal>
            <c:numRef>
              <c:f>rozptyly!$N$3:$N$4</c:f>
              <c:numCache>
                <c:formatCode>0.000</c:formatCode>
                <c:ptCount val="2"/>
                <c:pt idx="0">
                  <c:v>1.7369230769230768</c:v>
                </c:pt>
                <c:pt idx="1">
                  <c:v>1.7369230769230768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BB-4918-9B4E-7CB50ABFF2AD}"/>
            </c:ext>
          </c:extLst>
        </c:ser>
        <c:ser>
          <c:idx val="2"/>
          <c:order val="2"/>
          <c:tx>
            <c:strRef>
              <c:f>rozptyly!$P$2</c:f>
              <c:strCache>
                <c:ptCount val="1"/>
                <c:pt idx="0">
                  <c:v>průměr + odchylka</c:v>
                </c:pt>
              </c:strCache>
            </c:strRef>
          </c:tx>
          <c:spPr>
            <a:ln w="2540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rozptyly!$M$3:$M$4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xVal>
          <c:yVal>
            <c:numRef>
              <c:f>rozptyly!$P$3:$P$4</c:f>
              <c:numCache>
                <c:formatCode>0.000</c:formatCode>
                <c:ptCount val="2"/>
                <c:pt idx="0">
                  <c:v>1.8488296313471897</c:v>
                </c:pt>
                <c:pt idx="1">
                  <c:v>1.8488296313471897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B-4918-9B4E-7CB50ABFF2AD}"/>
            </c:ext>
          </c:extLst>
        </c:ser>
        <c:ser>
          <c:idx val="3"/>
          <c:order val="3"/>
          <c:tx>
            <c:strRef>
              <c:f>rozptyly!$Q$2</c:f>
              <c:strCache>
                <c:ptCount val="1"/>
                <c:pt idx="0">
                  <c:v>průměr - odchylka</c:v>
                </c:pt>
              </c:strCache>
            </c:strRef>
          </c:tx>
          <c:spPr>
            <a:ln w="25400" cap="rnd">
              <a:solidFill>
                <a:schemeClr val="accent5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rozptyly!$M$3:$M$4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xVal>
          <c:yVal>
            <c:numRef>
              <c:f>rozptyly!$Q$3:$Q$4</c:f>
              <c:numCache>
                <c:formatCode>0.000</c:formatCode>
                <c:ptCount val="2"/>
                <c:pt idx="0">
                  <c:v>1.6250165224989639</c:v>
                </c:pt>
                <c:pt idx="1">
                  <c:v>1.6250165224989639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BB-4918-9B4E-7CB50ABFF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5561744"/>
        <c:axId val="1505546512"/>
      </c:scatterChart>
      <c:valAx>
        <c:axId val="1505561744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>
                    <a:solidFill>
                      <a:sysClr val="windowText" lastClr="000000"/>
                    </a:solidFill>
                  </a:rPr>
                  <a:t>číslo měření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05546512"/>
        <c:crosses val="autoZero"/>
        <c:crossBetween val="midCat"/>
        <c:majorUnit val="2"/>
        <c:minorUnit val="1"/>
      </c:valAx>
      <c:valAx>
        <c:axId val="1505546512"/>
        <c:scaling>
          <c:orientation val="minMax"/>
          <c:min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 sz="1200">
                    <a:solidFill>
                      <a:sysClr val="windowText" lastClr="000000"/>
                    </a:solidFill>
                  </a:rPr>
                  <a:t>tloušťka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05561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39370078740157483" l="0.39370078740157483" r="0.39370078740157483" t="0.39370078740157483" header="0.31496062992125984" footer="0.31496062992125984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23</xdr:col>
      <xdr:colOff>523200</xdr:colOff>
      <xdr:row>19</xdr:row>
      <xdr:rowOff>171000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23</xdr:col>
      <xdr:colOff>523200</xdr:colOff>
      <xdr:row>39</xdr:row>
      <xdr:rowOff>171000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D3B10CDA-1054-4241-8A6D-310932455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7</xdr:row>
      <xdr:rowOff>0</xdr:rowOff>
    </xdr:from>
    <xdr:to>
      <xdr:col>19</xdr:col>
      <xdr:colOff>309750</xdr:colOff>
      <xdr:row>25</xdr:row>
      <xdr:rowOff>171000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6C00DD2-5D63-4EDE-98AE-3936BFD6D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workbookViewId="0"/>
  </sheetViews>
  <sheetFormatPr defaultRowHeight="15" x14ac:dyDescent="0.25"/>
  <cols>
    <col min="2" max="4" width="9.140625" customWidth="1"/>
    <col min="10" max="10" width="9.140625" customWidth="1"/>
  </cols>
  <sheetData>
    <row r="1" spans="1:14" x14ac:dyDescent="0.25">
      <c r="A1" s="5" t="s">
        <v>0</v>
      </c>
      <c r="B1" s="6" t="s">
        <v>11</v>
      </c>
      <c r="C1" s="6"/>
      <c r="D1" s="6"/>
      <c r="E1" t="s">
        <v>1</v>
      </c>
      <c r="G1" t="s">
        <v>2</v>
      </c>
      <c r="H1">
        <v>2</v>
      </c>
      <c r="I1">
        <v>3</v>
      </c>
      <c r="J1">
        <v>5</v>
      </c>
      <c r="L1" s="6" t="s">
        <v>14</v>
      </c>
      <c r="M1" s="6"/>
      <c r="N1" s="6"/>
    </row>
    <row r="2" spans="1:14" x14ac:dyDescent="0.25">
      <c r="A2" s="5">
        <v>1.9</v>
      </c>
      <c r="B2" s="12" t="s">
        <v>27</v>
      </c>
      <c r="C2" s="2"/>
      <c r="D2" s="2"/>
      <c r="E2">
        <f>COUNT(A2:A100)</f>
        <v>14</v>
      </c>
      <c r="H2" s="3">
        <f>$A2^H$1</f>
        <v>3.61</v>
      </c>
      <c r="I2" s="3">
        <f>$A2^I$1</f>
        <v>6.8589999999999991</v>
      </c>
      <c r="J2" s="3">
        <f>$A2^J$1</f>
        <v>24.76099</v>
      </c>
      <c r="L2" t="s">
        <v>0</v>
      </c>
      <c r="M2" s="7" t="s">
        <v>12</v>
      </c>
      <c r="N2" s="9" t="s">
        <v>13</v>
      </c>
    </row>
    <row r="3" spans="1:14" x14ac:dyDescent="0.25">
      <c r="A3" s="5">
        <v>1.8</v>
      </c>
      <c r="H3" s="3">
        <f t="shared" ref="H3:H15" si="0">$A3^H$1</f>
        <v>3.24</v>
      </c>
      <c r="I3" s="3">
        <f t="shared" ref="I3:J15" si="1">$A3^I$1</f>
        <v>5.8320000000000007</v>
      </c>
      <c r="J3" s="3">
        <f t="shared" si="1"/>
        <v>18.895680000000006</v>
      </c>
      <c r="L3">
        <v>0</v>
      </c>
      <c r="M3" s="3">
        <f>E4</f>
        <v>2.1842857142857142</v>
      </c>
      <c r="N3" s="3">
        <f>E5</f>
        <v>1.7650000000000001</v>
      </c>
    </row>
    <row r="4" spans="1:14" x14ac:dyDescent="0.25">
      <c r="A4" s="5">
        <v>1.71</v>
      </c>
      <c r="B4" s="1" t="s">
        <v>15</v>
      </c>
      <c r="C4" s="1"/>
      <c r="D4" s="1"/>
      <c r="E4" s="3">
        <f>AVERAGE(A2:A100)</f>
        <v>2.1842857142857142</v>
      </c>
      <c r="F4" s="3"/>
      <c r="H4" s="3">
        <f t="shared" si="0"/>
        <v>2.9240999999999997</v>
      </c>
      <c r="I4" s="3">
        <f t="shared" si="1"/>
        <v>5.0002109999999993</v>
      </c>
      <c r="J4" s="3">
        <f t="shared" si="1"/>
        <v>14.621116985099999</v>
      </c>
      <c r="L4">
        <f>E2</f>
        <v>14</v>
      </c>
      <c r="M4" s="3">
        <f>E4</f>
        <v>2.1842857142857142</v>
      </c>
      <c r="N4" s="3">
        <f>E5</f>
        <v>1.7650000000000001</v>
      </c>
    </row>
    <row r="5" spans="1:14" x14ac:dyDescent="0.25">
      <c r="A5" s="5">
        <v>1.7</v>
      </c>
      <c r="B5" s="1" t="s">
        <v>13</v>
      </c>
      <c r="C5" s="1"/>
      <c r="D5" s="1"/>
      <c r="E5" s="3">
        <f>MEDIAN(A2:A100)</f>
        <v>1.7650000000000001</v>
      </c>
      <c r="F5" s="3"/>
      <c r="H5" s="3">
        <f t="shared" si="0"/>
        <v>2.8899999999999997</v>
      </c>
      <c r="I5" s="3">
        <f t="shared" si="1"/>
        <v>4.9129999999999994</v>
      </c>
      <c r="J5" s="3">
        <f t="shared" si="1"/>
        <v>14.198569999999997</v>
      </c>
    </row>
    <row r="6" spans="1:14" x14ac:dyDescent="0.25">
      <c r="A6" s="5">
        <v>1.74</v>
      </c>
      <c r="B6" s="1" t="s">
        <v>16</v>
      </c>
      <c r="C6" s="1"/>
      <c r="D6" s="1"/>
      <c r="E6" s="3">
        <f>GEOMEAN(A2:A100)</f>
        <v>1.9336004559332949</v>
      </c>
      <c r="F6" s="3"/>
      <c r="H6" s="3">
        <f t="shared" si="0"/>
        <v>3.0276000000000001</v>
      </c>
      <c r="I6" s="3">
        <f t="shared" si="1"/>
        <v>5.2680240000000005</v>
      </c>
      <c r="J6" s="3">
        <f t="shared" si="1"/>
        <v>15.949469462400002</v>
      </c>
    </row>
    <row r="7" spans="1:14" x14ac:dyDescent="0.25">
      <c r="A7" s="5">
        <v>1.59</v>
      </c>
      <c r="B7" s="1" t="s">
        <v>17</v>
      </c>
      <c r="C7" s="1"/>
      <c r="D7" s="1"/>
      <c r="E7" s="3">
        <f>HARMEAN(A2:A100)</f>
        <v>1.8326021805776165</v>
      </c>
      <c r="F7" s="3"/>
      <c r="H7" s="3">
        <f t="shared" si="0"/>
        <v>2.5281000000000002</v>
      </c>
      <c r="I7" s="3">
        <f t="shared" si="1"/>
        <v>4.0196790000000009</v>
      </c>
      <c r="J7" s="3">
        <f t="shared" si="1"/>
        <v>10.162150479900003</v>
      </c>
    </row>
    <row r="8" spans="1:14" x14ac:dyDescent="0.25">
      <c r="A8" s="5">
        <v>1.78</v>
      </c>
      <c r="B8" s="1" t="s">
        <v>18</v>
      </c>
      <c r="C8" s="1"/>
      <c r="D8" s="1"/>
      <c r="E8" s="3">
        <f>SQRT(SUMSQ(A2:A100)/COUNT(A2:A100))</f>
        <v>2.7172727924467628</v>
      </c>
      <c r="F8" s="3"/>
      <c r="H8" s="3">
        <f t="shared" si="0"/>
        <v>3.1684000000000001</v>
      </c>
      <c r="I8" s="3">
        <f t="shared" si="1"/>
        <v>5.6397520000000005</v>
      </c>
      <c r="J8" s="3">
        <f t="shared" si="1"/>
        <v>17.868990236800002</v>
      </c>
    </row>
    <row r="9" spans="1:14" x14ac:dyDescent="0.25">
      <c r="A9" s="5">
        <v>1.75</v>
      </c>
      <c r="B9" s="1" t="s">
        <v>3</v>
      </c>
      <c r="C9" s="1"/>
      <c r="D9" s="1"/>
      <c r="E9" s="3">
        <f>(SUM(H2:H100)/COUNT(H2:H100))^(1/H$1)</f>
        <v>2.7172727924467628</v>
      </c>
      <c r="F9" s="3"/>
      <c r="H9" s="3">
        <f t="shared" si="0"/>
        <v>3.0625</v>
      </c>
      <c r="I9" s="3">
        <f t="shared" si="1"/>
        <v>5.359375</v>
      </c>
      <c r="J9" s="3">
        <f t="shared" si="1"/>
        <v>16.4130859375</v>
      </c>
    </row>
    <row r="10" spans="1:14" x14ac:dyDescent="0.25">
      <c r="A10" s="5">
        <v>1.78</v>
      </c>
      <c r="B10" s="1" t="s">
        <v>4</v>
      </c>
      <c r="C10" s="1"/>
      <c r="D10" s="1"/>
      <c r="E10" s="3">
        <f>(SUM(I2:I100)/COUNT(I2:I100))^(1/I$1)</f>
        <v>3.4619725263932635</v>
      </c>
      <c r="F10" s="3"/>
      <c r="H10" s="3">
        <f t="shared" si="0"/>
        <v>3.1684000000000001</v>
      </c>
      <c r="I10" s="3">
        <f t="shared" si="1"/>
        <v>5.6397520000000005</v>
      </c>
      <c r="J10" s="3">
        <f t="shared" si="1"/>
        <v>17.868990236800002</v>
      </c>
    </row>
    <row r="11" spans="1:14" x14ac:dyDescent="0.25">
      <c r="A11" s="5">
        <v>1.9</v>
      </c>
      <c r="B11" s="1" t="s">
        <v>5</v>
      </c>
      <c r="C11" s="1"/>
      <c r="D11" s="1"/>
      <c r="E11" s="3">
        <f>(SUM(J2:J100)/COUNT(J2:J100))^(1/J$1)</f>
        <v>4.7252812611016655</v>
      </c>
      <c r="F11" s="3"/>
      <c r="H11" s="3">
        <f t="shared" si="0"/>
        <v>3.61</v>
      </c>
      <c r="I11" s="3">
        <f t="shared" si="1"/>
        <v>6.8589999999999991</v>
      </c>
      <c r="J11" s="3">
        <f t="shared" si="1"/>
        <v>24.76099</v>
      </c>
    </row>
    <row r="12" spans="1:14" x14ac:dyDescent="0.25">
      <c r="A12" s="5">
        <v>1.65</v>
      </c>
      <c r="H12" s="3">
        <f t="shared" si="0"/>
        <v>2.7224999999999997</v>
      </c>
      <c r="I12" s="3">
        <f t="shared" si="1"/>
        <v>4.4921249999999997</v>
      </c>
      <c r="J12" s="3">
        <f t="shared" si="1"/>
        <v>12.229810312499996</v>
      </c>
    </row>
    <row r="13" spans="1:14" x14ac:dyDescent="0.25">
      <c r="A13" s="5">
        <v>1.5</v>
      </c>
      <c r="H13" s="3">
        <f t="shared" si="0"/>
        <v>2.25</v>
      </c>
      <c r="I13" s="3">
        <f t="shared" si="1"/>
        <v>3.375</v>
      </c>
      <c r="J13" s="3">
        <f t="shared" si="1"/>
        <v>7.59375</v>
      </c>
    </row>
    <row r="14" spans="1:14" x14ac:dyDescent="0.25">
      <c r="A14" s="5">
        <v>1.78</v>
      </c>
      <c r="H14" s="3">
        <f t="shared" si="0"/>
        <v>3.1684000000000001</v>
      </c>
      <c r="I14" s="3">
        <f t="shared" si="1"/>
        <v>5.6397520000000005</v>
      </c>
      <c r="J14" s="3">
        <f t="shared" si="1"/>
        <v>17.868990236800002</v>
      </c>
    </row>
    <row r="15" spans="1:14" x14ac:dyDescent="0.25">
      <c r="A15" s="5">
        <v>8</v>
      </c>
      <c r="H15" s="3">
        <f t="shared" si="0"/>
        <v>64</v>
      </c>
      <c r="I15" s="3">
        <f t="shared" si="1"/>
        <v>512</v>
      </c>
      <c r="J15" s="14">
        <f>$A15^J$1</f>
        <v>32768</v>
      </c>
    </row>
    <row r="36" spans="1:16" x14ac:dyDescent="0.25">
      <c r="A36" s="4"/>
    </row>
    <row r="38" spans="1:16" x14ac:dyDescent="0.25">
      <c r="N38" s="7"/>
      <c r="O38" s="8"/>
      <c r="P38" s="9"/>
    </row>
    <row r="39" spans="1:16" x14ac:dyDescent="0.25">
      <c r="N39" s="3"/>
      <c r="O39" s="3"/>
      <c r="P39" s="3"/>
    </row>
    <row r="40" spans="1:16" x14ac:dyDescent="0.25">
      <c r="N40" s="3"/>
      <c r="O40" s="3"/>
      <c r="P40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workbookViewId="0"/>
  </sheetViews>
  <sheetFormatPr defaultRowHeight="15" x14ac:dyDescent="0.25"/>
  <cols>
    <col min="8" max="10" width="20.7109375" customWidth="1"/>
    <col min="15" max="15" width="9.5703125" bestFit="1" customWidth="1"/>
    <col min="16" max="17" width="20.7109375" customWidth="1"/>
  </cols>
  <sheetData>
    <row r="1" spans="1:17" x14ac:dyDescent="0.25">
      <c r="A1" s="5" t="s">
        <v>0</v>
      </c>
      <c r="B1" s="6" t="s">
        <v>33</v>
      </c>
      <c r="C1" s="6"/>
      <c r="D1" s="6"/>
      <c r="H1" t="s">
        <v>20</v>
      </c>
      <c r="I1" t="s">
        <v>21</v>
      </c>
      <c r="J1" t="s">
        <v>19</v>
      </c>
      <c r="K1" t="s">
        <v>23</v>
      </c>
      <c r="M1" s="6" t="s">
        <v>32</v>
      </c>
      <c r="N1" s="6"/>
      <c r="O1" s="6"/>
    </row>
    <row r="2" spans="1:17" x14ac:dyDescent="0.25">
      <c r="A2" s="5">
        <v>1.9</v>
      </c>
      <c r="B2" t="s">
        <v>15</v>
      </c>
      <c r="F2" s="3">
        <f>AVERAGE(A2:A14)</f>
        <v>1.7369230769230768</v>
      </c>
      <c r="H2" s="3">
        <f>A2-F$2</f>
        <v>0.16307692307692312</v>
      </c>
      <c r="I2" s="3">
        <f>ABS(A2-F$2)</f>
        <v>0.16307692307692312</v>
      </c>
      <c r="J2" s="3">
        <f>ABS(A2-F$3)</f>
        <v>0.14999999999999991</v>
      </c>
      <c r="K2">
        <f t="shared" ref="K2:K14" si="0">IF(ABS(A2-$F$2)&gt;$F$9,1,0)</f>
        <v>1</v>
      </c>
      <c r="M2" t="s">
        <v>0</v>
      </c>
      <c r="N2" s="7" t="s">
        <v>12</v>
      </c>
      <c r="O2" t="s">
        <v>26</v>
      </c>
      <c r="P2" s="10" t="s">
        <v>24</v>
      </c>
      <c r="Q2" s="11" t="s">
        <v>25</v>
      </c>
    </row>
    <row r="3" spans="1:17" x14ac:dyDescent="0.25">
      <c r="A3" s="5">
        <v>1.8</v>
      </c>
      <c r="B3" t="s">
        <v>13</v>
      </c>
      <c r="F3" s="3">
        <f>MEDIAN(A2:A100)</f>
        <v>1.75</v>
      </c>
      <c r="H3" s="3">
        <f t="shared" ref="H3:H14" si="1">A3-F$2</f>
        <v>6.3076923076923253E-2</v>
      </c>
      <c r="I3" s="3">
        <f t="shared" ref="I3:I14" si="2">ABS(A3-F$2)</f>
        <v>6.3076923076923253E-2</v>
      </c>
      <c r="J3" s="3">
        <f t="shared" ref="J3:J14" si="3">ABS(A3-F$3)</f>
        <v>5.0000000000000044E-2</v>
      </c>
      <c r="K3">
        <f t="shared" si="0"/>
        <v>0</v>
      </c>
      <c r="M3">
        <v>0</v>
      </c>
      <c r="N3" s="3">
        <f>F2</f>
        <v>1.7369230769230768</v>
      </c>
      <c r="O3" s="3">
        <f>F9</f>
        <v>0.11190655442411281</v>
      </c>
      <c r="P3" s="3">
        <f>N3+O3</f>
        <v>1.8488296313471897</v>
      </c>
      <c r="Q3" s="3">
        <f>N3-O3</f>
        <v>1.6250165224989639</v>
      </c>
    </row>
    <row r="4" spans="1:17" x14ac:dyDescent="0.25">
      <c r="A4" s="5">
        <v>1.71</v>
      </c>
      <c r="H4" s="3">
        <f t="shared" si="1"/>
        <v>-2.6923076923076827E-2</v>
      </c>
      <c r="I4" s="3">
        <f t="shared" si="2"/>
        <v>2.6923076923076827E-2</v>
      </c>
      <c r="J4" s="3">
        <f t="shared" si="3"/>
        <v>4.0000000000000036E-2</v>
      </c>
      <c r="K4">
        <f t="shared" si="0"/>
        <v>0</v>
      </c>
      <c r="M4">
        <f>COUNT(A2:A100)</f>
        <v>13</v>
      </c>
      <c r="N4" s="3">
        <f>F2</f>
        <v>1.7369230769230768</v>
      </c>
      <c r="O4" s="3">
        <f>F9</f>
        <v>0.11190655442411281</v>
      </c>
      <c r="P4" s="3">
        <f>N4+O4</f>
        <v>1.8488296313471897</v>
      </c>
      <c r="Q4" s="3">
        <f>N4-O4</f>
        <v>1.6250165224989639</v>
      </c>
    </row>
    <row r="5" spans="1:17" x14ac:dyDescent="0.25">
      <c r="A5" s="5">
        <v>1.7</v>
      </c>
      <c r="B5" s="1" t="s">
        <v>6</v>
      </c>
      <c r="F5" s="3">
        <f>MAX(A2:A100)-MIN(A2:A100)</f>
        <v>0.39999999999999991</v>
      </c>
      <c r="H5" s="3">
        <f t="shared" si="1"/>
        <v>-3.6923076923076836E-2</v>
      </c>
      <c r="I5" s="3">
        <f t="shared" si="2"/>
        <v>3.6923076923076836E-2</v>
      </c>
      <c r="J5" s="3">
        <f t="shared" si="3"/>
        <v>5.0000000000000044E-2</v>
      </c>
      <c r="K5">
        <f t="shared" si="0"/>
        <v>0</v>
      </c>
    </row>
    <row r="6" spans="1:17" x14ac:dyDescent="0.25">
      <c r="A6" s="5">
        <v>1.74</v>
      </c>
      <c r="B6" s="1" t="s">
        <v>7</v>
      </c>
      <c r="F6" s="3">
        <f>AVERAGE(H2:H100)</f>
        <v>1.1956247957501685E-16</v>
      </c>
      <c r="H6" s="3">
        <f t="shared" si="1"/>
        <v>3.0769230769231992E-3</v>
      </c>
      <c r="I6" s="3">
        <f t="shared" si="2"/>
        <v>3.0769230769231992E-3</v>
      </c>
      <c r="J6" s="3">
        <f t="shared" si="3"/>
        <v>1.0000000000000009E-2</v>
      </c>
      <c r="K6">
        <f t="shared" si="0"/>
        <v>0</v>
      </c>
      <c r="M6" t="s">
        <v>30</v>
      </c>
      <c r="O6" s="7">
        <f>SUM(K2:K14)</f>
        <v>4</v>
      </c>
      <c r="P6" s="7"/>
    </row>
    <row r="7" spans="1:17" x14ac:dyDescent="0.25">
      <c r="A7" s="5">
        <v>1.59</v>
      </c>
      <c r="B7" s="1" t="s">
        <v>8</v>
      </c>
      <c r="F7" s="3">
        <f>AVERAGE(I2:I100)</f>
        <v>8.2248520710059198E-2</v>
      </c>
      <c r="H7" s="3">
        <f t="shared" si="1"/>
        <v>-0.14692307692307671</v>
      </c>
      <c r="I7" s="3">
        <f t="shared" si="2"/>
        <v>0.14692307692307671</v>
      </c>
      <c r="J7" s="3">
        <f t="shared" si="3"/>
        <v>0.15999999999999992</v>
      </c>
      <c r="K7">
        <f t="shared" si="0"/>
        <v>1</v>
      </c>
      <c r="O7" s="15">
        <f>O6/COUNT(A2:A14)*100</f>
        <v>30.76923076923077</v>
      </c>
      <c r="P7" s="7" t="s">
        <v>31</v>
      </c>
    </row>
    <row r="8" spans="1:17" x14ac:dyDescent="0.25">
      <c r="A8" s="5">
        <v>1.78</v>
      </c>
      <c r="B8" s="1" t="s">
        <v>9</v>
      </c>
      <c r="F8" s="3">
        <f>AVERAGE(J2:J100)</f>
        <v>8.0769230769230774E-2</v>
      </c>
      <c r="H8" s="3">
        <f t="shared" si="1"/>
        <v>4.3076923076923235E-2</v>
      </c>
      <c r="I8" s="3">
        <f t="shared" si="2"/>
        <v>4.3076923076923235E-2</v>
      </c>
      <c r="J8" s="3">
        <f t="shared" si="3"/>
        <v>3.0000000000000027E-2</v>
      </c>
      <c r="K8">
        <f t="shared" si="0"/>
        <v>0</v>
      </c>
    </row>
    <row r="9" spans="1:17" x14ac:dyDescent="0.25">
      <c r="A9" s="5">
        <v>1.75</v>
      </c>
      <c r="B9" s="1" t="s">
        <v>10</v>
      </c>
      <c r="F9" s="3">
        <f>STDEVA(A2:A100)</f>
        <v>0.11190655442411281</v>
      </c>
      <c r="H9" s="3">
        <f t="shared" si="1"/>
        <v>1.3076923076923208E-2</v>
      </c>
      <c r="I9" s="3">
        <f t="shared" si="2"/>
        <v>1.3076923076923208E-2</v>
      </c>
      <c r="J9" s="3">
        <f t="shared" si="3"/>
        <v>0</v>
      </c>
      <c r="K9">
        <f t="shared" si="0"/>
        <v>0</v>
      </c>
    </row>
    <row r="10" spans="1:17" x14ac:dyDescent="0.25">
      <c r="A10" s="5">
        <v>1.78</v>
      </c>
      <c r="B10" s="1" t="s">
        <v>28</v>
      </c>
      <c r="F10" s="3">
        <f>STDEVA(A2:A14)/SQRT(COUNT(A2:A14)-1)</f>
        <v>3.2304639660422518E-2</v>
      </c>
      <c r="H10" s="3">
        <f t="shared" si="1"/>
        <v>4.3076923076923235E-2</v>
      </c>
      <c r="I10" s="3">
        <f t="shared" si="2"/>
        <v>4.3076923076923235E-2</v>
      </c>
      <c r="J10" s="3">
        <f t="shared" si="3"/>
        <v>3.0000000000000027E-2</v>
      </c>
      <c r="K10">
        <f t="shared" si="0"/>
        <v>0</v>
      </c>
    </row>
    <row r="11" spans="1:17" x14ac:dyDescent="0.25">
      <c r="A11" s="5">
        <v>1.9</v>
      </c>
      <c r="H11" s="3">
        <f t="shared" si="1"/>
        <v>0.16307692307692312</v>
      </c>
      <c r="I11" s="3">
        <f t="shared" si="2"/>
        <v>0.16307692307692312</v>
      </c>
      <c r="J11" s="3">
        <f t="shared" si="3"/>
        <v>0.14999999999999991</v>
      </c>
      <c r="K11">
        <f t="shared" si="0"/>
        <v>1</v>
      </c>
    </row>
    <row r="12" spans="1:17" x14ac:dyDescent="0.25">
      <c r="A12" s="5">
        <v>1.65</v>
      </c>
      <c r="B12" s="1" t="s">
        <v>22</v>
      </c>
      <c r="F12">
        <f>SUM(K2:K100)</f>
        <v>4</v>
      </c>
      <c r="H12" s="3">
        <f t="shared" si="1"/>
        <v>-8.6923076923076881E-2</v>
      </c>
      <c r="I12" s="3">
        <f t="shared" si="2"/>
        <v>8.6923076923076881E-2</v>
      </c>
      <c r="J12" s="3">
        <f t="shared" si="3"/>
        <v>0.10000000000000009</v>
      </c>
      <c r="K12">
        <f t="shared" si="0"/>
        <v>0</v>
      </c>
    </row>
    <row r="13" spans="1:17" x14ac:dyDescent="0.25">
      <c r="A13" s="5">
        <v>1.5</v>
      </c>
      <c r="B13" s="1" t="s">
        <v>29</v>
      </c>
      <c r="F13" s="13">
        <f>F12/COUNT(A2:A100)*100</f>
        <v>30.76923076923077</v>
      </c>
      <c r="H13" s="3">
        <f t="shared" si="1"/>
        <v>-0.23692307692307679</v>
      </c>
      <c r="I13" s="3">
        <f t="shared" si="2"/>
        <v>0.23692307692307679</v>
      </c>
      <c r="J13" s="3">
        <f t="shared" si="3"/>
        <v>0.25</v>
      </c>
      <c r="K13">
        <f t="shared" si="0"/>
        <v>1</v>
      </c>
    </row>
    <row r="14" spans="1:17" x14ac:dyDescent="0.25">
      <c r="A14" s="5">
        <v>1.78</v>
      </c>
      <c r="H14" s="3">
        <f t="shared" si="1"/>
        <v>4.3076923076923235E-2</v>
      </c>
      <c r="I14" s="3">
        <f t="shared" si="2"/>
        <v>4.3076923076923235E-2</v>
      </c>
      <c r="J14" s="3">
        <f t="shared" si="3"/>
        <v>3.0000000000000027E-2</v>
      </c>
      <c r="K14">
        <f t="shared" si="0"/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prumery</vt:lpstr>
      <vt:lpstr>rozptyly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2026-09-22T05:49:16Z</dcterms:modified>
</cp:coreProperties>
</file>
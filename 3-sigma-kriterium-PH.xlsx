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filterPrivacy="1" defaultThemeVersion="124226"/>
  <xr:revisionPtr revIDLastSave="106" documentId="13_ncr:1_{51E91267-2785-476B-98F3-3666EC546537}" xr6:coauthVersionLast="47" xr6:coauthVersionMax="47" xr10:uidLastSave="{C554FC7B-8EDE-4646-A427-2AD10C87E6BC}"/>
  <bookViews>
    <workbookView xWindow="38280" yWindow="-120" windowWidth="38640" windowHeight="21240" xr2:uid="{00000000-000D-0000-FFFF-FFFF00000000}"/>
  </bookViews>
  <sheets>
    <sheet name="3sigma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4" l="1"/>
  <c r="F3" i="4"/>
  <c r="H3" i="4"/>
  <c r="L2" i="4"/>
  <c r="N2" i="4" s="1"/>
  <c r="I3" i="4"/>
  <c r="K3" i="4" s="1"/>
  <c r="I2" i="4"/>
  <c r="K2" i="4" s="1"/>
  <c r="F4" i="4"/>
  <c r="F2" i="4"/>
  <c r="L3" i="4"/>
  <c r="M3" i="4" s="1"/>
  <c r="N3" i="4" l="1"/>
  <c r="M2" i="4"/>
  <c r="J2" i="4"/>
  <c r="J3" i="4"/>
  <c r="B3" i="4" l="1"/>
  <c r="B7" i="4"/>
  <c r="B11" i="4"/>
  <c r="B15" i="4"/>
  <c r="B4" i="4"/>
  <c r="B8" i="4"/>
  <c r="B12" i="4"/>
  <c r="B2" i="4"/>
  <c r="B5" i="4"/>
  <c r="B9" i="4"/>
  <c r="B13" i="4"/>
  <c r="B6" i="4"/>
  <c r="B14" i="4"/>
  <c r="B10" i="4"/>
  <c r="F7" i="4"/>
  <c r="F8" i="4"/>
  <c r="F10" i="4" l="1"/>
</calcChain>
</file>

<file path=xl/sharedStrings.xml><?xml version="1.0" encoding="utf-8"?>
<sst xmlns="http://schemas.openxmlformats.org/spreadsheetml/2006/main" count="16" uniqueCount="14">
  <si>
    <t>data</t>
  </si>
  <si>
    <t>standardní odchylka</t>
  </si>
  <si>
    <t>aritmetický průměr</t>
  </si>
  <si>
    <t>počet hrubých chyb</t>
  </si>
  <si>
    <t>počet měření</t>
  </si>
  <si>
    <t>3krát standarní odchylka</t>
  </si>
  <si>
    <t>průměr - 3 sigma</t>
  </si>
  <si>
    <t>průměr + 3 sigma</t>
  </si>
  <si>
    <t>průměr správně</t>
  </si>
  <si>
    <t>průměr špatně</t>
  </si>
  <si>
    <t>minus 3 sigma</t>
  </si>
  <si>
    <t>plus 3 sigma</t>
  </si>
  <si>
    <t>hrubá chyba?</t>
  </si>
  <si>
    <r>
      <rPr>
        <b/>
        <sz val="11"/>
        <color rgb="FFFF0000"/>
        <rFont val="Aptos Narrow"/>
        <family val="2"/>
      </rPr>
      <t>←</t>
    </r>
    <r>
      <rPr>
        <b/>
        <sz val="11"/>
        <color rgb="FFFF0000"/>
        <rFont val="Calibri"/>
        <family val="2"/>
      </rPr>
      <t xml:space="preserve"> SEM VLOŽIT NOVĚ NAMĚŘENOU HODNOTU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</si>
</sst>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charset val="238"/>
      <scheme val="minor"/>
    </font>
    <font>
      <b/>
      <sz val="11"/>
      <color rgb="FFFF0000"/>
      <name val="Calibri"/>
      <family val="2"/>
      <charset val="238"/>
    </font>
    <font>
      <b/>
      <sz val="11"/>
      <color rgb="FFFF0000"/>
      <name val="Aptos Narrow"/>
      <family val="2"/>
    </font>
    <font>
      <b/>
      <sz val="11"/>
      <color rgb="FFFF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CFF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0" fillId="3" borderId="0" xfId="0" applyFill="1"/>
    <xf numFmtId="0" fontId="5" fillId="4" borderId="0" xfId="0" applyFont="1" applyFill="1"/>
    <xf numFmtId="0" fontId="2" fillId="2" borderId="0" xfId="0" applyFont="1" applyFill="1"/>
    <xf numFmtId="0" fontId="6" fillId="2" borderId="0" xfId="0" applyFont="1" applyFill="1" applyAlignment="1">
      <alignment horizontal="left"/>
    </xf>
  </cellXfs>
  <cellStyles count="1">
    <cellStyle name="Normální" xfId="0" builtinId="0"/>
  </cellStyles>
  <dxfs count="3">
    <dxf>
      <font>
        <color rgb="FFFF0000"/>
      </font>
    </dxf>
    <dxf>
      <font>
        <color rgb="FF00B050"/>
      </font>
    </dxf>
    <dxf>
      <font>
        <color rgb="FFFF0000"/>
      </font>
    </dxf>
  </dxfs>
  <tableStyles count="0" defaultTableStyle="TableStyleMedium2" defaultPivotStyle="PivotStyleMedium9"/>
  <colors>
    <mruColors>
      <color rgb="FFCC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cs-CZ">
                <a:solidFill>
                  <a:sysClr val="windowText" lastClr="000000"/>
                </a:solidFill>
              </a:rPr>
              <a:t>3 </a:t>
            </a:r>
            <a:r>
              <a:rPr lang="cs-CZ">
                <a:solidFill>
                  <a:sysClr val="windowText" lastClr="000000"/>
                </a:solidFill>
                <a:latin typeface="Symbol" panose="05050102010706020507" pitchFamily="18" charset="2"/>
              </a:rPr>
              <a:t>s</a:t>
            </a:r>
            <a:r>
              <a:rPr lang="cs-CZ">
                <a:solidFill>
                  <a:sysClr val="windowText" lastClr="000000"/>
                </a:solidFill>
              </a:rPr>
              <a:t> kritérium </a:t>
            </a:r>
            <a:endParaRPr lang="en-US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'3sigma'!$A$1</c:f>
              <c:strCache>
                <c:ptCount val="1"/>
                <c:pt idx="0">
                  <c:v>data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'3sigma'!$A$2:$A$15</c:f>
              <c:numCache>
                <c:formatCode>General</c:formatCode>
                <c:ptCount val="14"/>
                <c:pt idx="0">
                  <c:v>1.9</c:v>
                </c:pt>
                <c:pt idx="1">
                  <c:v>1.8</c:v>
                </c:pt>
                <c:pt idx="2">
                  <c:v>1.71</c:v>
                </c:pt>
                <c:pt idx="3">
                  <c:v>1.7</c:v>
                </c:pt>
                <c:pt idx="4">
                  <c:v>1.74</c:v>
                </c:pt>
                <c:pt idx="5">
                  <c:v>1.59</c:v>
                </c:pt>
                <c:pt idx="6">
                  <c:v>1.78</c:v>
                </c:pt>
                <c:pt idx="7">
                  <c:v>1.75</c:v>
                </c:pt>
                <c:pt idx="8">
                  <c:v>1.78</c:v>
                </c:pt>
                <c:pt idx="9">
                  <c:v>1.9</c:v>
                </c:pt>
                <c:pt idx="10">
                  <c:v>1.65</c:v>
                </c:pt>
                <c:pt idx="11">
                  <c:v>1.5</c:v>
                </c:pt>
                <c:pt idx="12">
                  <c:v>1.78</c:v>
                </c:pt>
                <c:pt idx="13">
                  <c:v>2.4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7DD-4279-BFA1-D93A31728E98}"/>
            </c:ext>
          </c:extLst>
        </c:ser>
        <c:ser>
          <c:idx val="1"/>
          <c:order val="1"/>
          <c:tx>
            <c:strRef>
              <c:f>'3sigma'!$I$1</c:f>
              <c:strCache>
                <c:ptCount val="1"/>
                <c:pt idx="0">
                  <c:v>průměr správně</c:v>
                </c:pt>
              </c:strCache>
            </c:strRef>
          </c:tx>
          <c:spPr>
            <a:ln w="2540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'3sigma'!$H$2:$H$3</c:f>
              <c:numCache>
                <c:formatCode>General</c:formatCode>
                <c:ptCount val="2"/>
                <c:pt idx="0">
                  <c:v>0</c:v>
                </c:pt>
                <c:pt idx="1">
                  <c:v>14</c:v>
                </c:pt>
              </c:numCache>
            </c:numRef>
          </c:xVal>
          <c:yVal>
            <c:numRef>
              <c:f>'3sigma'!$I$2:$I$3</c:f>
              <c:numCache>
                <c:formatCode>0.000</c:formatCode>
                <c:ptCount val="2"/>
                <c:pt idx="0">
                  <c:v>1.7369230769230768</c:v>
                </c:pt>
                <c:pt idx="1">
                  <c:v>1.7369230769230768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7DD-4279-BFA1-D93A31728E98}"/>
            </c:ext>
          </c:extLst>
        </c:ser>
        <c:ser>
          <c:idx val="2"/>
          <c:order val="2"/>
          <c:tx>
            <c:strRef>
              <c:f>'3sigma'!$J$1</c:f>
              <c:strCache>
                <c:ptCount val="1"/>
                <c:pt idx="0">
                  <c:v>minus 3 sigma</c:v>
                </c:pt>
              </c:strCache>
            </c:strRef>
          </c:tx>
          <c:spPr>
            <a:ln w="19050" cap="rnd">
              <a:solidFill>
                <a:srgbClr val="00B05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'3sigma'!$H$2:$H$3</c:f>
              <c:numCache>
                <c:formatCode>General</c:formatCode>
                <c:ptCount val="2"/>
                <c:pt idx="0">
                  <c:v>0</c:v>
                </c:pt>
                <c:pt idx="1">
                  <c:v>14</c:v>
                </c:pt>
              </c:numCache>
            </c:numRef>
          </c:xVal>
          <c:yVal>
            <c:numRef>
              <c:f>'3sigma'!$J$2:$J$3</c:f>
              <c:numCache>
                <c:formatCode>0.000</c:formatCode>
                <c:ptCount val="2"/>
                <c:pt idx="0">
                  <c:v>1.4012034136507383</c:v>
                </c:pt>
                <c:pt idx="1">
                  <c:v>1.4012034136507383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7DD-4279-BFA1-D93A31728E98}"/>
            </c:ext>
          </c:extLst>
        </c:ser>
        <c:ser>
          <c:idx val="3"/>
          <c:order val="3"/>
          <c:tx>
            <c:strRef>
              <c:f>'3sigma'!$K$1</c:f>
              <c:strCache>
                <c:ptCount val="1"/>
                <c:pt idx="0">
                  <c:v>plus 3 sigma</c:v>
                </c:pt>
              </c:strCache>
            </c:strRef>
          </c:tx>
          <c:spPr>
            <a:ln w="19050" cap="rnd">
              <a:solidFill>
                <a:srgbClr val="00B05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'3sigma'!$H$2:$H$3</c:f>
              <c:numCache>
                <c:formatCode>General</c:formatCode>
                <c:ptCount val="2"/>
                <c:pt idx="0">
                  <c:v>0</c:v>
                </c:pt>
                <c:pt idx="1">
                  <c:v>14</c:v>
                </c:pt>
              </c:numCache>
            </c:numRef>
          </c:xVal>
          <c:yVal>
            <c:numRef>
              <c:f>'3sigma'!$K$2:$K$3</c:f>
              <c:numCache>
                <c:formatCode>0.000</c:formatCode>
                <c:ptCount val="2"/>
                <c:pt idx="0">
                  <c:v>2.0726427401954153</c:v>
                </c:pt>
                <c:pt idx="1">
                  <c:v>2.0726427401954153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7DD-4279-BFA1-D93A31728E98}"/>
            </c:ext>
          </c:extLst>
        </c:ser>
        <c:ser>
          <c:idx val="4"/>
          <c:order val="4"/>
          <c:tx>
            <c:strRef>
              <c:f>'3sigma'!$L$1</c:f>
              <c:strCache>
                <c:ptCount val="1"/>
                <c:pt idx="0">
                  <c:v>průměr špatně</c:v>
                </c:pt>
              </c:strCache>
            </c:strRef>
          </c:tx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'3sigma'!$H$2:$H$3</c:f>
              <c:numCache>
                <c:formatCode>General</c:formatCode>
                <c:ptCount val="2"/>
                <c:pt idx="0">
                  <c:v>0</c:v>
                </c:pt>
                <c:pt idx="1">
                  <c:v>14</c:v>
                </c:pt>
              </c:numCache>
            </c:numRef>
          </c:xVal>
          <c:yVal>
            <c:numRef>
              <c:f>'3sigma'!$L$2:$L$3</c:f>
              <c:numCache>
                <c:formatCode>0.000</c:formatCode>
                <c:ptCount val="2"/>
                <c:pt idx="0">
                  <c:v>1.784285714285714</c:v>
                </c:pt>
                <c:pt idx="1">
                  <c:v>1.784285714285714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7DD-4279-BFA1-D93A31728E98}"/>
            </c:ext>
          </c:extLst>
        </c:ser>
        <c:ser>
          <c:idx val="5"/>
          <c:order val="5"/>
          <c:tx>
            <c:strRef>
              <c:f>'3sigma'!$M$1</c:f>
              <c:strCache>
                <c:ptCount val="1"/>
                <c:pt idx="0">
                  <c:v>minus 3 sigma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'3sigma'!$H$2:$H$3</c:f>
              <c:numCache>
                <c:formatCode>General</c:formatCode>
                <c:ptCount val="2"/>
                <c:pt idx="0">
                  <c:v>0</c:v>
                </c:pt>
                <c:pt idx="1">
                  <c:v>14</c:v>
                </c:pt>
              </c:numCache>
            </c:numRef>
          </c:xVal>
          <c:yVal>
            <c:numRef>
              <c:f>'3sigma'!$M$2:$M$3</c:f>
              <c:numCache>
                <c:formatCode>0.000</c:formatCode>
                <c:ptCount val="2"/>
                <c:pt idx="0">
                  <c:v>1.162446895552504</c:v>
                </c:pt>
                <c:pt idx="1">
                  <c:v>1.162446895552504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7DD-4279-BFA1-D93A31728E98}"/>
            </c:ext>
          </c:extLst>
        </c:ser>
        <c:ser>
          <c:idx val="6"/>
          <c:order val="6"/>
          <c:tx>
            <c:strRef>
              <c:f>'3sigma'!$N$1</c:f>
              <c:strCache>
                <c:ptCount val="1"/>
                <c:pt idx="0">
                  <c:v>plus 3 sigma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'3sigma'!$H$2:$H$3</c:f>
              <c:numCache>
                <c:formatCode>General</c:formatCode>
                <c:ptCount val="2"/>
                <c:pt idx="0">
                  <c:v>0</c:v>
                </c:pt>
                <c:pt idx="1">
                  <c:v>14</c:v>
                </c:pt>
              </c:numCache>
            </c:numRef>
          </c:xVal>
          <c:yVal>
            <c:numRef>
              <c:f>'3sigma'!$N$2:$N$3</c:f>
              <c:numCache>
                <c:formatCode>0.000</c:formatCode>
                <c:ptCount val="2"/>
                <c:pt idx="0">
                  <c:v>2.4061245330189243</c:v>
                </c:pt>
                <c:pt idx="1">
                  <c:v>2.4061245330189243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07DD-4279-BFA1-D93A31728E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302710064"/>
        <c:axId val="-1302708976"/>
      </c:scatterChart>
      <c:valAx>
        <c:axId val="-1302710064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ash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 sz="1200">
                    <a:solidFill>
                      <a:sysClr val="windowText" lastClr="000000"/>
                    </a:solidFill>
                  </a:rPr>
                  <a:t>číslo měření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majorTickMark val="in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-1302708976"/>
        <c:crossesAt val="-1"/>
        <c:crossBetween val="midCat"/>
        <c:majorUnit val="3"/>
        <c:minorUnit val="1"/>
      </c:valAx>
      <c:valAx>
        <c:axId val="-1302708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 sz="1200">
                    <a:solidFill>
                      <a:sysClr val="windowText" lastClr="000000"/>
                    </a:solidFill>
                  </a:rPr>
                  <a:t>tloušťka fólie (</a:t>
                </a:r>
                <a:r>
                  <a:rPr lang="el-GR" sz="1200">
                    <a:solidFill>
                      <a:sysClr val="windowText" lastClr="000000"/>
                    </a:solidFill>
                  </a:rPr>
                  <a:t>μ</a:t>
                </a:r>
                <a:r>
                  <a:rPr lang="cs-CZ" sz="1200">
                    <a:solidFill>
                      <a:sysClr val="windowText" lastClr="000000"/>
                    </a:solidFill>
                  </a:rPr>
                  <a:t>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-1302710064"/>
        <c:crossesAt val="0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4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3" name="Graf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/>
  </sheetViews>
  <sheetFormatPr defaultRowHeight="15" x14ac:dyDescent="0.25"/>
  <cols>
    <col min="1" max="1" width="10.7109375" customWidth="1"/>
    <col min="2" max="2" width="15.7109375" customWidth="1"/>
    <col min="9" max="14" width="15.7109375" customWidth="1"/>
  </cols>
  <sheetData>
    <row r="1" spans="1:15" x14ac:dyDescent="0.25">
      <c r="A1" s="6" t="s">
        <v>0</v>
      </c>
      <c r="B1" t="s">
        <v>12</v>
      </c>
      <c r="I1" s="4" t="s">
        <v>8</v>
      </c>
      <c r="J1" s="4" t="s">
        <v>10</v>
      </c>
      <c r="K1" s="4" t="s">
        <v>11</v>
      </c>
      <c r="L1" s="3" t="s">
        <v>9</v>
      </c>
      <c r="M1" s="3" t="s">
        <v>10</v>
      </c>
      <c r="N1" s="3" t="s">
        <v>11</v>
      </c>
    </row>
    <row r="2" spans="1:15" x14ac:dyDescent="0.25">
      <c r="A2" s="6">
        <v>1.9</v>
      </c>
      <c r="B2">
        <f>IF(ABS(A2-$F$3)&gt;$F$5,1,0)</f>
        <v>0</v>
      </c>
      <c r="C2" t="s">
        <v>4</v>
      </c>
      <c r="F2">
        <f>COUNT(A2:A14)</f>
        <v>13</v>
      </c>
      <c r="H2">
        <v>0</v>
      </c>
      <c r="I2" s="2">
        <f>AVERAGE(A2:A14)</f>
        <v>1.7369230769230768</v>
      </c>
      <c r="J2" s="2">
        <f>I2-3*STDEVA(A2:A14)</f>
        <v>1.4012034136507383</v>
      </c>
      <c r="K2" s="2">
        <f>I2+3*STDEVA(A2:A14)</f>
        <v>2.0726427401954153</v>
      </c>
      <c r="L2" s="2">
        <f>AVERAGE(A2:A100)</f>
        <v>1.784285714285714</v>
      </c>
      <c r="M2" s="2">
        <f>L2-3*STDEVA(A2:A100)</f>
        <v>1.162446895552504</v>
      </c>
      <c r="N2" s="2">
        <f>L2+3*STDEVA(A2:A100)</f>
        <v>2.4061245330189243</v>
      </c>
      <c r="O2" s="2"/>
    </row>
    <row r="3" spans="1:15" x14ac:dyDescent="0.25">
      <c r="A3" s="6">
        <v>1.8</v>
      </c>
      <c r="B3">
        <f t="shared" ref="B3:B15" si="0">IF(ABS(A3-$F$3)&gt;$F$5,1,0)</f>
        <v>0</v>
      </c>
      <c r="C3" t="s">
        <v>2</v>
      </c>
      <c r="F3" s="2">
        <f>AVERAGE(A2:A14)</f>
        <v>1.7369230769230768</v>
      </c>
      <c r="G3" s="2"/>
      <c r="H3">
        <f>COUNT(A2:A100)</f>
        <v>14</v>
      </c>
      <c r="I3" s="2">
        <f>AVERAGE(A2:A14)</f>
        <v>1.7369230769230768</v>
      </c>
      <c r="J3" s="2">
        <f>I3-3*STDEVA(A2:A14)</f>
        <v>1.4012034136507383</v>
      </c>
      <c r="K3" s="2">
        <f>I3+3*STDEVA(A2:A14)</f>
        <v>2.0726427401954153</v>
      </c>
      <c r="L3" s="2">
        <f>AVERAGE(A2:A100)</f>
        <v>1.784285714285714</v>
      </c>
      <c r="M3" s="2">
        <f>L3-3*STDEVA(A2:A100)</f>
        <v>1.162446895552504</v>
      </c>
      <c r="N3" s="2">
        <f>L3+3*STDEVA(A2:A100)</f>
        <v>2.4061245330189243</v>
      </c>
    </row>
    <row r="4" spans="1:15" x14ac:dyDescent="0.25">
      <c r="A4" s="6">
        <v>1.71</v>
      </c>
      <c r="B4">
        <f t="shared" si="0"/>
        <v>0</v>
      </c>
      <c r="C4" t="s">
        <v>1</v>
      </c>
      <c r="F4" s="2">
        <f>STDEVA(A2:A14)</f>
        <v>0.11190655442411281</v>
      </c>
      <c r="G4" s="2"/>
    </row>
    <row r="5" spans="1:15" x14ac:dyDescent="0.25">
      <c r="A5" s="6">
        <v>1.7</v>
      </c>
      <c r="B5">
        <f t="shared" si="0"/>
        <v>0</v>
      </c>
      <c r="C5" t="s">
        <v>5</v>
      </c>
      <c r="F5" s="2">
        <f>3*F4</f>
        <v>0.33571966327233843</v>
      </c>
      <c r="G5" s="2"/>
    </row>
    <row r="6" spans="1:15" x14ac:dyDescent="0.25">
      <c r="A6" s="6">
        <v>1.74</v>
      </c>
      <c r="B6">
        <f t="shared" si="0"/>
        <v>0</v>
      </c>
      <c r="G6" s="2"/>
    </row>
    <row r="7" spans="1:15" x14ac:dyDescent="0.25">
      <c r="A7" s="6">
        <v>1.59</v>
      </c>
      <c r="B7">
        <f t="shared" si="0"/>
        <v>0</v>
      </c>
      <c r="C7" t="s">
        <v>6</v>
      </c>
      <c r="F7" s="2">
        <f>F3-F5</f>
        <v>1.4012034136507383</v>
      </c>
      <c r="G7" s="2"/>
    </row>
    <row r="8" spans="1:15" x14ac:dyDescent="0.25">
      <c r="A8" s="6">
        <v>1.78</v>
      </c>
      <c r="B8">
        <f t="shared" si="0"/>
        <v>0</v>
      </c>
      <c r="C8" t="s">
        <v>7</v>
      </c>
      <c r="F8" s="2">
        <f>F3+F5</f>
        <v>2.0726427401954153</v>
      </c>
    </row>
    <row r="9" spans="1:15" x14ac:dyDescent="0.25">
      <c r="A9" s="6">
        <v>1.75</v>
      </c>
      <c r="B9">
        <f t="shared" si="0"/>
        <v>0</v>
      </c>
      <c r="G9" s="1"/>
    </row>
    <row r="10" spans="1:15" x14ac:dyDescent="0.25">
      <c r="A10" s="6">
        <v>1.78</v>
      </c>
      <c r="B10">
        <f t="shared" si="0"/>
        <v>0</v>
      </c>
      <c r="C10" s="1" t="s">
        <v>3</v>
      </c>
      <c r="F10" s="1">
        <f>SUM(B2:B100)</f>
        <v>1</v>
      </c>
    </row>
    <row r="11" spans="1:15" x14ac:dyDescent="0.25">
      <c r="A11" s="6">
        <v>1.9</v>
      </c>
      <c r="B11">
        <f t="shared" si="0"/>
        <v>0</v>
      </c>
    </row>
    <row r="12" spans="1:15" x14ac:dyDescent="0.25">
      <c r="A12" s="6">
        <v>1.65</v>
      </c>
      <c r="B12">
        <f t="shared" si="0"/>
        <v>0</v>
      </c>
    </row>
    <row r="13" spans="1:15" x14ac:dyDescent="0.25">
      <c r="A13" s="6">
        <v>1.5</v>
      </c>
      <c r="B13">
        <f t="shared" si="0"/>
        <v>0</v>
      </c>
    </row>
    <row r="14" spans="1:15" x14ac:dyDescent="0.25">
      <c r="A14" s="6">
        <v>1.78</v>
      </c>
      <c r="B14">
        <f t="shared" si="0"/>
        <v>0</v>
      </c>
    </row>
    <row r="15" spans="1:15" x14ac:dyDescent="0.25">
      <c r="A15" s="7">
        <v>2.4</v>
      </c>
      <c r="B15" s="5">
        <f t="shared" si="0"/>
        <v>1</v>
      </c>
      <c r="C15" s="9" t="s">
        <v>13</v>
      </c>
      <c r="D15" s="9"/>
      <c r="E15" s="9"/>
      <c r="F15" s="9"/>
      <c r="G15" s="9"/>
    </row>
    <row r="16" spans="1:15" x14ac:dyDescent="0.25">
      <c r="A16" s="7"/>
      <c r="B16" s="8"/>
    </row>
    <row r="17" spans="1:6" x14ac:dyDescent="0.25">
      <c r="A17" s="7"/>
      <c r="B17" s="8"/>
    </row>
    <row r="18" spans="1:6" x14ac:dyDescent="0.25">
      <c r="A18" s="7"/>
      <c r="B18" s="8"/>
    </row>
    <row r="19" spans="1:6" x14ac:dyDescent="0.25">
      <c r="A19" s="7"/>
      <c r="B19" s="8"/>
    </row>
    <row r="24" spans="1:6" x14ac:dyDescent="0.25">
      <c r="F24" s="2"/>
    </row>
    <row r="25" spans="1:6" x14ac:dyDescent="0.25">
      <c r="F25" s="2"/>
    </row>
  </sheetData>
  <mergeCells count="1">
    <mergeCell ref="C15:G15"/>
  </mergeCells>
  <conditionalFormatting sqref="B2:B15">
    <cfRule type="cellIs" dxfId="2" priority="4" operator="equal">
      <formula>1</formula>
    </cfRule>
  </conditionalFormatting>
  <conditionalFormatting sqref="G9 F10">
    <cfRule type="cellIs" dxfId="1" priority="2" operator="lessThan">
      <formula>1</formula>
    </cfRule>
    <cfRule type="cellIs" dxfId="0" priority="3" operator="greaterThan">
      <formula>0</formula>
    </cfRule>
  </conditionalFormatting>
  <pageMargins left="0.7" right="0.7" top="0.78740157499999996" bottom="0.78740157499999996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3sigma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2026-09-22T11:32:41Z</dcterms:modified>
</cp:coreProperties>
</file>